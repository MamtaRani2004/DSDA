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Excel\"/>
    </mc:Choice>
  </mc:AlternateContent>
  <xr:revisionPtr revIDLastSave="0" documentId="13_ncr:1_{F342571E-40B3-4D72-A318-DFEDA3C23367}" xr6:coauthVersionLast="47" xr6:coauthVersionMax="47" xr10:uidLastSave="{00000000-0000-0000-0000-000000000000}"/>
  <bookViews>
    <workbookView xWindow="-108" yWindow="-108" windowWidth="23256" windowHeight="12456" xr2:uid="{56BC37F6-0198-46A3-A206-03B2E3506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5" i="1"/>
  <c r="R16" i="1"/>
  <c r="R17" i="1"/>
  <c r="Q15" i="1"/>
  <c r="Q14" i="1"/>
  <c r="Q16" i="1"/>
  <c r="Q17" i="1"/>
  <c r="Q13" i="1"/>
  <c r="N13" i="1"/>
  <c r="P14" i="1"/>
  <c r="P15" i="1"/>
  <c r="P16" i="1"/>
  <c r="P17" i="1"/>
  <c r="P13" i="1"/>
  <c r="O14" i="1"/>
  <c r="O15" i="1"/>
  <c r="O16" i="1"/>
  <c r="O17" i="1"/>
  <c r="O13" i="1"/>
  <c r="N14" i="1"/>
  <c r="N15" i="1"/>
  <c r="N16" i="1"/>
  <c r="N17" i="1"/>
  <c r="R3" i="1"/>
  <c r="R4" i="1"/>
  <c r="R5" i="1"/>
  <c r="R6" i="1"/>
  <c r="R7" i="1"/>
  <c r="Q3" i="1"/>
  <c r="Q7" i="1"/>
  <c r="Q4" i="1"/>
  <c r="Q5" i="1"/>
  <c r="Q6" i="1"/>
  <c r="N4" i="1"/>
  <c r="P4" i="1" s="1"/>
  <c r="N5" i="1"/>
  <c r="P5" i="1" s="1"/>
  <c r="N6" i="1"/>
  <c r="P6" i="1" s="1"/>
  <c r="N7" i="1"/>
  <c r="P7" i="1" s="1"/>
  <c r="N3" i="1"/>
  <c r="P3" i="1" s="1"/>
  <c r="I18" i="1"/>
  <c r="I16" i="1"/>
  <c r="I17" i="1"/>
  <c r="I15" i="1"/>
  <c r="F27" i="1"/>
  <c r="E35" i="1"/>
  <c r="E36" i="1"/>
  <c r="E34" i="1"/>
  <c r="F31" i="1"/>
  <c r="F30" i="1"/>
  <c r="F29" i="1"/>
  <c r="F28" i="1"/>
  <c r="F23" i="1"/>
  <c r="F24" i="1"/>
  <c r="F18" i="1"/>
  <c r="D20" i="1"/>
  <c r="C20" i="1"/>
  <c r="B20" i="1"/>
  <c r="A20" i="1"/>
  <c r="E11" i="1"/>
  <c r="E10" i="1"/>
  <c r="F4" i="1"/>
  <c r="F6" i="1"/>
  <c r="F5" i="1"/>
  <c r="F7" i="1"/>
  <c r="P10" i="1" l="1"/>
  <c r="N9" i="1"/>
  <c r="N8" i="1"/>
</calcChain>
</file>

<file path=xl/sharedStrings.xml><?xml version="1.0" encoding="utf-8"?>
<sst xmlns="http://schemas.openxmlformats.org/spreadsheetml/2006/main" count="101" uniqueCount="57">
  <si>
    <t>Emp_ID</t>
  </si>
  <si>
    <t>Name</t>
  </si>
  <si>
    <t>Department</t>
  </si>
  <si>
    <t>Salary</t>
  </si>
  <si>
    <t>Priya</t>
  </si>
  <si>
    <t>Rahul</t>
  </si>
  <si>
    <t>Neha</t>
  </si>
  <si>
    <t>Amit</t>
  </si>
  <si>
    <t>HR</t>
  </si>
  <si>
    <t>Sales</t>
  </si>
  <si>
    <t>IT</t>
  </si>
  <si>
    <t>Finance</t>
  </si>
  <si>
    <t>Product_ID</t>
  </si>
  <si>
    <t>Product</t>
  </si>
  <si>
    <t>Price</t>
  </si>
  <si>
    <t>P101</t>
  </si>
  <si>
    <t>P102</t>
  </si>
  <si>
    <t>P103</t>
  </si>
  <si>
    <t>P104</t>
  </si>
  <si>
    <t>Printer</t>
  </si>
  <si>
    <t>Monitor</t>
  </si>
  <si>
    <t>Keyboard</t>
  </si>
  <si>
    <t>Mouse</t>
  </si>
  <si>
    <t>Stock</t>
  </si>
  <si>
    <t>Month</t>
  </si>
  <si>
    <t>Jan</t>
  </si>
  <si>
    <t>Feb</t>
  </si>
  <si>
    <t>March</t>
  </si>
  <si>
    <t>Profit</t>
  </si>
  <si>
    <t>VLOOKUP</t>
  </si>
  <si>
    <t>HLOOKUP</t>
  </si>
  <si>
    <t>XLOOKUP</t>
  </si>
  <si>
    <t>Aman</t>
  </si>
  <si>
    <t>Karan</t>
  </si>
  <si>
    <t>Total</t>
  </si>
  <si>
    <t>Average</t>
  </si>
  <si>
    <t>Maximum</t>
  </si>
  <si>
    <t>Minimum</t>
  </si>
  <si>
    <t>Total Student</t>
  </si>
  <si>
    <t>Hindi</t>
  </si>
  <si>
    <t>English</t>
  </si>
  <si>
    <t>Maths</t>
  </si>
  <si>
    <t>Science</t>
  </si>
  <si>
    <t>Perecentage</t>
  </si>
  <si>
    <t>Result</t>
  </si>
  <si>
    <t>Roll_No</t>
  </si>
  <si>
    <t>AVERAGE PERCENTAGE</t>
  </si>
  <si>
    <t>HIGHEST TOTAL</t>
  </si>
  <si>
    <t>LOWEST TOTAL</t>
  </si>
  <si>
    <t>Grade</t>
  </si>
  <si>
    <t>T_Marks</t>
  </si>
  <si>
    <t>Attendence</t>
  </si>
  <si>
    <t>Result 1</t>
  </si>
  <si>
    <t>Result 2</t>
  </si>
  <si>
    <t>OR</t>
  </si>
  <si>
    <t>AND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</si>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</sst>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6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" fillId="0" borderId="7" xfId="0" applyFont="1" applyBorder="1" applyAlignment="1">
      <alignment horizontal="center"/>
    </xf>
    <xf numFmtId="0" fontId="0" fillId="0" borderId="1" xfId="0" applyBorder="1"/>
    <xf numFmtId="0" fontId="0" fillId="0" borderId="19" xfId="0" applyBorder="1"/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11" xfId="0" applyBorder="1"/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D264-08A9-41A4-A00A-9428C118A7DB}">
  <dimension ref="A1:Z37"/>
  <sheetViews>
    <sheetView tabSelected="1" workbookViewId="0">
      <selection activeCell="K12" sqref="K12:R17"/>
    </sheetView>
  </sheetViews>
  <sheetFormatPr defaultRowHeight="14.4" x14ac:dyDescent="0.3"/>
  <cols>
    <col min="1" max="1" width="12.5546875" customWidth="1"/>
    <col min="2" max="2" width="11.33203125" customWidth="1"/>
    <col min="3" max="3" width="12.44140625" customWidth="1"/>
    <col min="4" max="4" width="11.109375" customWidth="1"/>
    <col min="6" max="6" width="13.88671875" customWidth="1"/>
    <col min="7" max="7" width="6.21875" customWidth="1"/>
    <col min="8" max="8" width="14.6640625" customWidth="1"/>
    <col min="9" max="9" width="8.88671875" customWidth="1"/>
    <col min="10" max="10" width="11.44140625" customWidth="1"/>
    <col min="11" max="11" width="10.44140625" customWidth="1"/>
    <col min="12" max="12" width="9.88671875" customWidth="1"/>
    <col min="13" max="13" width="11.109375" customWidth="1"/>
    <col min="15" max="15" width="14.88671875" customWidth="1"/>
    <col min="16" max="16" width="13.44140625" customWidth="1"/>
    <col min="18" max="18" width="11.6640625" customWidth="1"/>
    <col min="26" max="26" width="13.109375" customWidth="1"/>
    <col min="27" max="27" width="11.88671875" customWidth="1"/>
  </cols>
  <sheetData>
    <row r="1" spans="1:26" ht="15" thickBot="1" x14ac:dyDescent="0.35">
      <c r="A1" s="1"/>
      <c r="B1" s="1"/>
      <c r="C1" s="1"/>
      <c r="D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29</v>
      </c>
      <c r="B2" s="35"/>
      <c r="C2" s="35"/>
      <c r="D2" s="35"/>
      <c r="E2" s="6"/>
      <c r="F2" s="7"/>
      <c r="H2" s="23" t="s">
        <v>45</v>
      </c>
      <c r="I2" s="27" t="s">
        <v>1</v>
      </c>
      <c r="J2" s="27" t="s">
        <v>39</v>
      </c>
      <c r="K2" s="27" t="s">
        <v>40</v>
      </c>
      <c r="L2" s="27" t="s">
        <v>41</v>
      </c>
      <c r="M2" s="27" t="s">
        <v>42</v>
      </c>
      <c r="N2" s="27" t="s">
        <v>50</v>
      </c>
      <c r="O2" s="27" t="s">
        <v>34</v>
      </c>
      <c r="P2" s="27" t="s">
        <v>43</v>
      </c>
      <c r="Q2" s="27" t="s">
        <v>44</v>
      </c>
      <c r="R2" s="24" t="s">
        <v>49</v>
      </c>
    </row>
    <row r="3" spans="1:26" x14ac:dyDescent="0.3">
      <c r="A3" s="4" t="s">
        <v>0</v>
      </c>
      <c r="B3" s="4" t="s">
        <v>1</v>
      </c>
      <c r="C3" s="4" t="s">
        <v>2</v>
      </c>
      <c r="D3" s="4" t="s">
        <v>3</v>
      </c>
      <c r="E3" s="3"/>
      <c r="F3" s="17"/>
      <c r="H3" s="10">
        <v>101</v>
      </c>
      <c r="I3" s="4" t="s">
        <v>5</v>
      </c>
      <c r="J3" s="4">
        <v>95</v>
      </c>
      <c r="K3" s="4">
        <v>92</v>
      </c>
      <c r="L3" s="4">
        <v>94</v>
      </c>
      <c r="M3" s="4">
        <v>93</v>
      </c>
      <c r="N3" s="4">
        <f>SUM(J3:M3)</f>
        <v>374</v>
      </c>
      <c r="O3" s="4">
        <v>400</v>
      </c>
      <c r="P3" s="4">
        <f>N3/O3*100</f>
        <v>93.5</v>
      </c>
      <c r="Q3" s="4" t="str">
        <f>IF(J3&gt;=35,"pass","fail")</f>
        <v>pass</v>
      </c>
      <c r="R3" s="25" t="str">
        <f>IF(J3&gt;=95,"A+",IF(J3&gt;=80,"A",IF(J3&gt;=60,"B",IF(J3&gt;=45,"C",IF(J3&gt;=35,"D","Fail")))))</f>
        <v>A+</v>
      </c>
    </row>
    <row r="4" spans="1:26" x14ac:dyDescent="0.3">
      <c r="A4" s="8">
        <v>101</v>
      </c>
      <c r="B4" s="5" t="s">
        <v>7</v>
      </c>
      <c r="C4" s="5" t="s">
        <v>8</v>
      </c>
      <c r="D4" s="5">
        <v>25000</v>
      </c>
      <c r="F4" s="20" t="str">
        <f>VLOOKUP(A4,A4:D7,2,0)</f>
        <v>Amit</v>
      </c>
      <c r="H4" s="10">
        <v>102</v>
      </c>
      <c r="I4" s="4" t="s">
        <v>32</v>
      </c>
      <c r="J4" s="4">
        <v>60</v>
      </c>
      <c r="K4" s="4">
        <v>55</v>
      </c>
      <c r="L4" s="4">
        <v>70</v>
      </c>
      <c r="M4" s="4">
        <v>65</v>
      </c>
      <c r="N4" s="4">
        <f t="shared" ref="N4:N7" si="0">SUM(J4:M4)</f>
        <v>250</v>
      </c>
      <c r="O4" s="4">
        <v>400</v>
      </c>
      <c r="P4" s="4">
        <f t="shared" ref="P4:P7" si="1">N4/O4*100</f>
        <v>62.5</v>
      </c>
      <c r="Q4" s="4" t="str">
        <f t="shared" ref="Q4:Q6" si="2">IF(J4&gt;=35,"pass","fail")</f>
        <v>pass</v>
      </c>
      <c r="R4" s="25" t="str">
        <f t="shared" ref="R4:R7" si="3">IF(J4&gt;=80,"A",IF(J4&gt;=60,"B",IF(J4&gt;=45,"C",IF(J4&gt;=35,"D","Fail"))))</f>
        <v>B</v>
      </c>
    </row>
    <row r="5" spans="1:26" x14ac:dyDescent="0.3">
      <c r="A5" s="10">
        <v>102</v>
      </c>
      <c r="B5" s="4" t="s">
        <v>6</v>
      </c>
      <c r="C5" s="4" t="s">
        <v>9</v>
      </c>
      <c r="D5" s="4">
        <v>30000</v>
      </c>
      <c r="F5" s="20" t="str">
        <f>VLOOKUP(A5,A4:D7,3,0)</f>
        <v>Sales</v>
      </c>
      <c r="H5" s="10">
        <v>103</v>
      </c>
      <c r="I5" s="4" t="s">
        <v>6</v>
      </c>
      <c r="J5" s="4">
        <v>90</v>
      </c>
      <c r="K5" s="4">
        <v>95</v>
      </c>
      <c r="L5" s="4">
        <v>88</v>
      </c>
      <c r="M5" s="4">
        <v>92</v>
      </c>
      <c r="N5" s="4">
        <f t="shared" si="0"/>
        <v>365</v>
      </c>
      <c r="O5" s="4">
        <v>400</v>
      </c>
      <c r="P5" s="4">
        <f t="shared" si="1"/>
        <v>91.25</v>
      </c>
      <c r="Q5" s="4" t="str">
        <f t="shared" si="2"/>
        <v>pass</v>
      </c>
      <c r="R5" s="25" t="str">
        <f t="shared" si="3"/>
        <v>A</v>
      </c>
    </row>
    <row r="6" spans="1:26" x14ac:dyDescent="0.3">
      <c r="A6" s="10">
        <v>103</v>
      </c>
      <c r="B6" s="4" t="s">
        <v>5</v>
      </c>
      <c r="C6" s="4" t="s">
        <v>10</v>
      </c>
      <c r="D6" s="4">
        <v>40000</v>
      </c>
      <c r="F6" s="20" t="str">
        <f>VLOOKUP(A6,A4:D7,2,0)</f>
        <v>Rahul</v>
      </c>
      <c r="H6" s="10">
        <v>104</v>
      </c>
      <c r="I6" s="4" t="s">
        <v>4</v>
      </c>
      <c r="J6" s="4">
        <v>45</v>
      </c>
      <c r="K6" s="4">
        <v>50</v>
      </c>
      <c r="L6" s="4">
        <v>60</v>
      </c>
      <c r="M6" s="4">
        <v>55</v>
      </c>
      <c r="N6" s="4">
        <f t="shared" si="0"/>
        <v>210</v>
      </c>
      <c r="O6" s="4">
        <v>400</v>
      </c>
      <c r="P6" s="4">
        <f t="shared" si="1"/>
        <v>52.5</v>
      </c>
      <c r="Q6" s="4" t="str">
        <f t="shared" si="2"/>
        <v>pass</v>
      </c>
      <c r="R6" s="25" t="str">
        <f t="shared" si="3"/>
        <v>C</v>
      </c>
    </row>
    <row r="7" spans="1:26" x14ac:dyDescent="0.3">
      <c r="A7" s="10">
        <v>104</v>
      </c>
      <c r="B7" s="4" t="s">
        <v>4</v>
      </c>
      <c r="C7" s="4" t="s">
        <v>11</v>
      </c>
      <c r="D7" s="4">
        <v>35000</v>
      </c>
      <c r="F7" s="20">
        <f>VLOOKUP(A7,A4:D7,4,0)</f>
        <v>35000</v>
      </c>
      <c r="H7" s="10">
        <v>105</v>
      </c>
      <c r="I7" s="4" t="s">
        <v>33</v>
      </c>
      <c r="J7" s="4">
        <v>30</v>
      </c>
      <c r="K7" s="4">
        <v>40</v>
      </c>
      <c r="L7" s="4">
        <v>35</v>
      </c>
      <c r="M7" s="4">
        <v>25</v>
      </c>
      <c r="N7" s="4">
        <f t="shared" si="0"/>
        <v>130</v>
      </c>
      <c r="O7" s="4">
        <v>400</v>
      </c>
      <c r="P7" s="4">
        <f t="shared" si="1"/>
        <v>32.5</v>
      </c>
      <c r="Q7" s="4" t="str">
        <f>IF(J7&gt;=35,"pass","fail")</f>
        <v>fail</v>
      </c>
      <c r="R7" s="25" t="str">
        <f t="shared" si="3"/>
        <v>Fail</v>
      </c>
    </row>
    <row r="8" spans="1:26" x14ac:dyDescent="0.3">
      <c r="A8" s="11"/>
      <c r="F8" s="9"/>
      <c r="H8" s="40" t="s">
        <v>47</v>
      </c>
      <c r="I8" s="41"/>
      <c r="J8" s="41"/>
      <c r="K8" s="41"/>
      <c r="L8" s="41"/>
      <c r="M8" s="41"/>
      <c r="N8" s="4">
        <f>MAX(N3:N7)</f>
        <v>374</v>
      </c>
      <c r="O8" s="4"/>
      <c r="P8" s="18"/>
      <c r="Q8" s="18"/>
      <c r="R8" s="28"/>
    </row>
    <row r="9" spans="1:26" x14ac:dyDescent="0.3">
      <c r="A9" s="10" t="s">
        <v>12</v>
      </c>
      <c r="B9" s="4" t="s">
        <v>13</v>
      </c>
      <c r="C9" s="4" t="s">
        <v>14</v>
      </c>
      <c r="F9" s="9"/>
      <c r="H9" s="40" t="s">
        <v>48</v>
      </c>
      <c r="I9" s="41"/>
      <c r="J9" s="41"/>
      <c r="K9" s="41"/>
      <c r="L9" s="41"/>
      <c r="M9" s="41"/>
      <c r="N9" s="4">
        <f>MIN(N3:N7)</f>
        <v>130</v>
      </c>
      <c r="O9" s="4"/>
      <c r="P9" s="18"/>
      <c r="Q9" s="18"/>
      <c r="R9" s="28"/>
    </row>
    <row r="10" spans="1:26" ht="15" thickBot="1" x14ac:dyDescent="0.35">
      <c r="A10" s="10" t="s">
        <v>15</v>
      </c>
      <c r="B10" s="4" t="s">
        <v>22</v>
      </c>
      <c r="C10" s="4">
        <v>500</v>
      </c>
      <c r="E10" s="1">
        <f>VLOOKUP(A12,A10:C13,3,0)</f>
        <v>7000</v>
      </c>
      <c r="F10" s="9"/>
      <c r="H10" s="38" t="s">
        <v>46</v>
      </c>
      <c r="I10" s="39"/>
      <c r="J10" s="39"/>
      <c r="K10" s="39"/>
      <c r="L10" s="39"/>
      <c r="M10" s="39"/>
      <c r="N10" s="39"/>
      <c r="O10" s="39"/>
      <c r="P10" s="14">
        <f>AVERAGE(P3:P7)</f>
        <v>66.45</v>
      </c>
      <c r="Q10" s="30"/>
      <c r="R10" s="29"/>
    </row>
    <row r="11" spans="1:26" ht="15" thickBot="1" x14ac:dyDescent="0.35">
      <c r="A11" s="10" t="s">
        <v>16</v>
      </c>
      <c r="B11" s="4" t="s">
        <v>21</v>
      </c>
      <c r="C11" s="4">
        <v>900</v>
      </c>
      <c r="E11" s="1" t="str">
        <f>(VLOOKUP(A10,A10:C13,2,0))</f>
        <v>Mouse</v>
      </c>
      <c r="F11" s="9"/>
    </row>
    <row r="12" spans="1:26" x14ac:dyDescent="0.3">
      <c r="A12" s="10" t="s">
        <v>17</v>
      </c>
      <c r="B12" s="4" t="s">
        <v>20</v>
      </c>
      <c r="C12" s="4">
        <v>7000</v>
      </c>
      <c r="F12" s="9"/>
      <c r="H12" s="23" t="s">
        <v>6</v>
      </c>
      <c r="I12" s="24">
        <v>90</v>
      </c>
      <c r="K12" s="23" t="s">
        <v>1</v>
      </c>
      <c r="L12" s="27" t="s">
        <v>3</v>
      </c>
      <c r="M12" s="27" t="s">
        <v>51</v>
      </c>
      <c r="N12" s="27" t="s">
        <v>55</v>
      </c>
      <c r="O12" s="27" t="s">
        <v>54</v>
      </c>
      <c r="P12" s="27" t="s">
        <v>56</v>
      </c>
      <c r="Q12" s="27" t="s">
        <v>52</v>
      </c>
      <c r="R12" s="24" t="s">
        <v>53</v>
      </c>
    </row>
    <row r="13" spans="1:26" ht="15" thickBot="1" x14ac:dyDescent="0.35">
      <c r="A13" s="13" t="s">
        <v>18</v>
      </c>
      <c r="B13" s="14" t="s">
        <v>19</v>
      </c>
      <c r="C13" s="14">
        <v>5500</v>
      </c>
      <c r="D13" s="15"/>
      <c r="E13" s="15"/>
      <c r="F13" s="16"/>
      <c r="H13" s="10" t="s">
        <v>4</v>
      </c>
      <c r="I13" s="25">
        <v>65</v>
      </c>
      <c r="K13" s="10" t="s">
        <v>5</v>
      </c>
      <c r="L13" s="4">
        <v>35000</v>
      </c>
      <c r="M13" s="4">
        <v>95</v>
      </c>
      <c r="N13" s="4" t="b">
        <f>AND(L13&gt;=40000,(M13&gt;=75),"Eligibal")</f>
        <v>0</v>
      </c>
      <c r="O13" s="4" t="b">
        <f>OR(L13&gt;=40000,(M13&gt;=75),"Shortlisted")</f>
        <v>1</v>
      </c>
      <c r="P13" s="4" t="b">
        <f>NOT(M13&gt;=75)</f>
        <v>0</v>
      </c>
      <c r="Q13" s="4" t="str">
        <f>IF(M13&gt;=40000,AND(M13&gt;=75),"Eligible")</f>
        <v>Eligible</v>
      </c>
      <c r="R13" s="25" t="str">
        <f>IF(L13&gt;=40000,OR(M13&gt;=75),"Shortlisted")</f>
        <v>Shortlisted</v>
      </c>
    </row>
    <row r="14" spans="1:26" ht="15" thickBot="1" x14ac:dyDescent="0.35">
      <c r="A14" s="1"/>
      <c r="B14" s="1"/>
      <c r="C14" s="1"/>
      <c r="H14" s="10" t="s">
        <v>33</v>
      </c>
      <c r="I14" s="25">
        <v>70</v>
      </c>
      <c r="K14" s="10" t="s">
        <v>32</v>
      </c>
      <c r="L14" s="4">
        <v>60000</v>
      </c>
      <c r="M14" s="4">
        <v>80</v>
      </c>
      <c r="N14" s="4" t="b">
        <f t="shared" ref="N14:N17" si="4">AND(L14&gt;=40000,AND(M14&gt;=75),"Eligibal")</f>
        <v>1</v>
      </c>
      <c r="O14" s="4" t="b">
        <f t="shared" ref="O14:O17" si="5">OR(L14&gt;=40000,(M14&gt;=75),"Shortlisted")</f>
        <v>1</v>
      </c>
      <c r="P14" s="4" t="b">
        <f t="shared" ref="P14:P17" si="6">NOT(M14&gt;=75)</f>
        <v>0</v>
      </c>
      <c r="Q14" s="4" t="str">
        <f>IF(M14&gt;=40000,AND(M14&gt;=75),"Eligible")</f>
        <v>Eligible</v>
      </c>
      <c r="R14" s="25" t="b">
        <f t="shared" ref="R14:R17" si="7">IF(L14&gt;=40000,OR(M14&gt;=75),"Shortlisted")</f>
        <v>1</v>
      </c>
    </row>
    <row r="15" spans="1:26" x14ac:dyDescent="0.3">
      <c r="A15" s="31" t="s">
        <v>30</v>
      </c>
      <c r="B15" s="32"/>
      <c r="C15" s="32"/>
      <c r="D15" s="32"/>
      <c r="E15" s="32"/>
      <c r="F15" s="33"/>
      <c r="H15" s="10" t="s">
        <v>34</v>
      </c>
      <c r="I15" s="25">
        <f>SUM(I12:I14)</f>
        <v>225</v>
      </c>
      <c r="K15" s="10" t="s">
        <v>6</v>
      </c>
      <c r="L15" s="4">
        <v>25000</v>
      </c>
      <c r="M15" s="4">
        <v>60</v>
      </c>
      <c r="N15" s="4" t="b">
        <f t="shared" si="4"/>
        <v>0</v>
      </c>
      <c r="O15" s="4" t="b">
        <f t="shared" si="5"/>
        <v>0</v>
      </c>
      <c r="P15" s="4" t="b">
        <f t="shared" si="6"/>
        <v>1</v>
      </c>
      <c r="Q15" s="4" t="str">
        <f>IF(M15&gt;=40000,AND(M15&gt;=75),"Eligible")</f>
        <v>Eligible</v>
      </c>
      <c r="R15" s="25" t="str">
        <f t="shared" si="7"/>
        <v>Shortlisted</v>
      </c>
    </row>
    <row r="16" spans="1:26" x14ac:dyDescent="0.3">
      <c r="A16" s="10" t="s">
        <v>13</v>
      </c>
      <c r="B16" s="4" t="s">
        <v>22</v>
      </c>
      <c r="C16" s="4" t="s">
        <v>21</v>
      </c>
      <c r="D16" s="4" t="s">
        <v>20</v>
      </c>
      <c r="E16" s="2"/>
      <c r="F16" s="19"/>
      <c r="H16" s="10" t="s">
        <v>35</v>
      </c>
      <c r="I16" s="25">
        <f>AVERAGE(I12:I14)</f>
        <v>75</v>
      </c>
      <c r="K16" s="10" t="s">
        <v>4</v>
      </c>
      <c r="L16" s="4">
        <v>50000</v>
      </c>
      <c r="M16" s="4">
        <v>90</v>
      </c>
      <c r="N16" s="4" t="b">
        <f t="shared" si="4"/>
        <v>1</v>
      </c>
      <c r="O16" s="4" t="b">
        <f t="shared" si="5"/>
        <v>1</v>
      </c>
      <c r="P16" s="4" t="b">
        <f t="shared" si="6"/>
        <v>0</v>
      </c>
      <c r="Q16" s="4" t="str">
        <f t="shared" ref="Q14:Q17" si="8">IF(M16&gt;=40000,AND(M16&gt;=75),"Eligible")</f>
        <v>Eligible</v>
      </c>
      <c r="R16" s="25" t="b">
        <f t="shared" si="7"/>
        <v>1</v>
      </c>
    </row>
    <row r="17" spans="1:18" ht="15" thickBot="1" x14ac:dyDescent="0.35">
      <c r="A17" s="10" t="s">
        <v>14</v>
      </c>
      <c r="B17" s="4">
        <v>500</v>
      </c>
      <c r="C17" s="4">
        <v>900</v>
      </c>
      <c r="D17" s="4">
        <v>7000</v>
      </c>
      <c r="F17" s="9"/>
      <c r="H17" s="10" t="s">
        <v>36</v>
      </c>
      <c r="I17" s="25">
        <f>MAX(I12:I14)</f>
        <v>90</v>
      </c>
      <c r="K17" s="13" t="s">
        <v>33</v>
      </c>
      <c r="L17" s="14">
        <v>45000</v>
      </c>
      <c r="M17" s="14">
        <v>70</v>
      </c>
      <c r="N17" s="14" t="b">
        <f t="shared" si="4"/>
        <v>0</v>
      </c>
      <c r="O17" s="14" t="b">
        <f t="shared" si="5"/>
        <v>1</v>
      </c>
      <c r="P17" s="14" t="b">
        <f t="shared" si="6"/>
        <v>1</v>
      </c>
      <c r="Q17" s="14" t="str">
        <f t="shared" si="8"/>
        <v>Eligible</v>
      </c>
      <c r="R17" s="26" t="b">
        <f t="shared" si="7"/>
        <v>0</v>
      </c>
    </row>
    <row r="18" spans="1:18" x14ac:dyDescent="0.3">
      <c r="A18" s="10" t="s">
        <v>23</v>
      </c>
      <c r="B18" s="4">
        <v>25</v>
      </c>
      <c r="C18" s="4">
        <v>15</v>
      </c>
      <c r="D18" s="4">
        <v>8</v>
      </c>
      <c r="F18" s="20">
        <f>HLOOKUP(D16,A16:D18,2,0)</f>
        <v>7000</v>
      </c>
      <c r="H18" s="10" t="s">
        <v>37</v>
      </c>
      <c r="I18" s="25">
        <f>MIN(I12:I14)</f>
        <v>65</v>
      </c>
    </row>
    <row r="19" spans="1:18" ht="15" thickBot="1" x14ac:dyDescent="0.35">
      <c r="A19" s="11"/>
      <c r="F19" s="20"/>
      <c r="H19" s="13" t="s">
        <v>38</v>
      </c>
      <c r="I19" s="26"/>
    </row>
    <row r="20" spans="1:18" x14ac:dyDescent="0.3">
      <c r="A20" s="22">
        <f>HLOOKUP(B16,A16:D18,2,0)</f>
        <v>500</v>
      </c>
      <c r="B20" s="1">
        <f>HLOOKUP(D16,A16:D18,3,0)</f>
        <v>8</v>
      </c>
      <c r="C20" s="1">
        <f>HLOOKUP(C16,A16:D18,3,0)</f>
        <v>15</v>
      </c>
      <c r="D20" s="1">
        <f>HLOOKUP(D16,A16:D18,3,0)</f>
        <v>8</v>
      </c>
      <c r="F20" s="20"/>
    </row>
    <row r="21" spans="1:18" x14ac:dyDescent="0.3">
      <c r="A21" s="11"/>
      <c r="F21" s="20"/>
    </row>
    <row r="22" spans="1:18" x14ac:dyDescent="0.3">
      <c r="A22" s="10" t="s">
        <v>24</v>
      </c>
      <c r="B22" s="4" t="s">
        <v>25</v>
      </c>
      <c r="C22" s="4" t="s">
        <v>26</v>
      </c>
      <c r="D22" s="4" t="s">
        <v>27</v>
      </c>
      <c r="F22" s="20"/>
    </row>
    <row r="23" spans="1:18" x14ac:dyDescent="0.3">
      <c r="A23" s="10" t="s">
        <v>9</v>
      </c>
      <c r="B23" s="4">
        <v>15000</v>
      </c>
      <c r="C23" s="4">
        <v>18000</v>
      </c>
      <c r="D23" s="4">
        <v>22000</v>
      </c>
      <c r="F23" s="20">
        <f>HLOOKUP(C22,A22:D24,2,0)</f>
        <v>18000</v>
      </c>
    </row>
    <row r="24" spans="1:18" ht="15" thickBot="1" x14ac:dyDescent="0.35">
      <c r="A24" s="13" t="s">
        <v>28</v>
      </c>
      <c r="B24" s="14">
        <v>3000</v>
      </c>
      <c r="C24" s="14">
        <v>4500</v>
      </c>
      <c r="D24" s="14">
        <v>6000</v>
      </c>
      <c r="E24" s="15"/>
      <c r="F24" s="21">
        <f>HLOOKUP(D22,A22:D24,3,0)</f>
        <v>6000</v>
      </c>
    </row>
    <row r="25" spans="1:18" ht="15" thickBot="1" x14ac:dyDescent="0.35"/>
    <row r="26" spans="1:18" x14ac:dyDescent="0.3">
      <c r="A26" s="36" t="s">
        <v>31</v>
      </c>
      <c r="B26" s="37"/>
      <c r="C26" s="37"/>
      <c r="D26" s="37"/>
      <c r="E26" s="6"/>
      <c r="F26" s="7"/>
    </row>
    <row r="27" spans="1:18" x14ac:dyDescent="0.3">
      <c r="A27" s="10" t="s">
        <v>0</v>
      </c>
      <c r="B27" s="4" t="s">
        <v>1</v>
      </c>
      <c r="C27" s="4" t="s">
        <v>2</v>
      </c>
      <c r="D27" s="4" t="s">
        <v>3</v>
      </c>
      <c r="F27" s="20">
        <f>_xlfn.XLOOKUP(A31,H:H,K:K,"Not M3Found")</f>
        <v>50</v>
      </c>
    </row>
    <row r="28" spans="1:18" x14ac:dyDescent="0.3">
      <c r="A28" s="10">
        <v>101</v>
      </c>
      <c r="B28" s="4" t="s">
        <v>7</v>
      </c>
      <c r="C28" s="4" t="s">
        <v>8</v>
      </c>
      <c r="D28" s="4">
        <v>25000</v>
      </c>
      <c r="F28" s="20" t="str">
        <f>_xlfn.XLOOKUP(A28,A28:A31,B28:B31,"Not Found")</f>
        <v>Amit</v>
      </c>
    </row>
    <row r="29" spans="1:18" x14ac:dyDescent="0.3">
      <c r="A29" s="10">
        <v>102</v>
      </c>
      <c r="B29" s="4" t="s">
        <v>6</v>
      </c>
      <c r="C29" s="4" t="s">
        <v>9</v>
      </c>
      <c r="D29" s="4">
        <v>30000</v>
      </c>
      <c r="F29" s="20">
        <f>_xlfn.XLOOKUP(A29,A28:A31,D28:D31,"Not Found")</f>
        <v>30000</v>
      </c>
    </row>
    <row r="30" spans="1:18" x14ac:dyDescent="0.3">
      <c r="A30" s="10">
        <v>103</v>
      </c>
      <c r="B30" s="4" t="s">
        <v>5</v>
      </c>
      <c r="C30" s="4" t="s">
        <v>10</v>
      </c>
      <c r="D30" s="4">
        <v>40000</v>
      </c>
      <c r="F30" s="20" t="str">
        <f>_xlfn.XLOOKUP(A30,A28:A31,C28:C31,"Not Found")</f>
        <v>IT</v>
      </c>
    </row>
    <row r="31" spans="1:18" x14ac:dyDescent="0.3">
      <c r="A31" s="10">
        <v>104</v>
      </c>
      <c r="B31" s="4" t="s">
        <v>4</v>
      </c>
      <c r="C31" s="4" t="s">
        <v>11</v>
      </c>
      <c r="D31" s="4">
        <v>35000</v>
      </c>
      <c r="F31" s="20" t="str">
        <f>_xlfn.XLOOKUP(A31,A28:A31,C28:C31,"Not Found")</f>
        <v>Finance</v>
      </c>
    </row>
    <row r="32" spans="1:18" x14ac:dyDescent="0.3">
      <c r="A32" s="11"/>
      <c r="F32" s="9"/>
    </row>
    <row r="33" spans="1:6" x14ac:dyDescent="0.3">
      <c r="A33" s="12" t="s">
        <v>12</v>
      </c>
      <c r="B33" s="4" t="s">
        <v>13</v>
      </c>
      <c r="C33" s="4" t="s">
        <v>14</v>
      </c>
      <c r="F33" s="9"/>
    </row>
    <row r="34" spans="1:6" x14ac:dyDescent="0.3">
      <c r="A34" s="10" t="s">
        <v>15</v>
      </c>
      <c r="B34" s="4" t="s">
        <v>22</v>
      </c>
      <c r="C34" s="4">
        <v>500</v>
      </c>
      <c r="E34" s="1" t="str">
        <f>_xlfn.XLOOKUP(A37,A34:A37,B34:B37,"Not Found")</f>
        <v>Printer</v>
      </c>
      <c r="F34" s="9"/>
    </row>
    <row r="35" spans="1:6" x14ac:dyDescent="0.3">
      <c r="A35" s="10" t="s">
        <v>16</v>
      </c>
      <c r="B35" s="4" t="s">
        <v>21</v>
      </c>
      <c r="C35" s="4">
        <v>900</v>
      </c>
      <c r="E35" s="1" t="e">
        <f>_xlfn.XLOOKUP(#REF!,#REF!,B34:B37,"Product Not Found")</f>
        <v>#REF!</v>
      </c>
      <c r="F35" s="9"/>
    </row>
    <row r="36" spans="1:6" x14ac:dyDescent="0.3">
      <c r="A36" s="10" t="s">
        <v>17</v>
      </c>
      <c r="B36" s="4" t="s">
        <v>20</v>
      </c>
      <c r="C36" s="4">
        <v>7000</v>
      </c>
      <c r="E36" s="1">
        <f>_xlfn.XLOOKUP(A35,A34:A37,C34:C37,"Not Found")</f>
        <v>900</v>
      </c>
      <c r="F36" s="9"/>
    </row>
    <row r="37" spans="1:6" ht="15" thickBot="1" x14ac:dyDescent="0.35">
      <c r="A37" s="13" t="s">
        <v>18</v>
      </c>
      <c r="B37" s="14" t="s">
        <v>19</v>
      </c>
      <c r="C37" s="14">
        <v>5500</v>
      </c>
      <c r="D37" s="15"/>
      <c r="E37" s="15"/>
      <c r="F37" s="16"/>
    </row>
  </sheetData>
  <mergeCells count="6">
    <mergeCell ref="A15:F15"/>
    <mergeCell ref="A2:D2"/>
    <mergeCell ref="A26:D26"/>
    <mergeCell ref="H10:O10"/>
    <mergeCell ref="H9:M9"/>
    <mergeCell ref="H8:M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Mamta Rani</dc:creator>
  <cp:lastModifiedBy>Mamta Rani</cp:lastModifiedBy>
  <cp:lastPrinted>2026-08-03T04:51:16Z</cp:lastPrinted>
  <dcterms:created xsi:type="dcterms:W3CDTF">2026-08-03T04:28:53Z</dcterms:created>
  <dcterms:modified xsi:type="dcterms:W3CDTF">2026-08-03T09:21:17Z</dcterms:modified>
</cp:coreProperties>
</file>